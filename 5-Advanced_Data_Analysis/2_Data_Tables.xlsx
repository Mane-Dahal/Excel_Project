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(1)-My Work\Advanced_Data_Analysis\"/>
    </mc:Choice>
  </mc:AlternateContent>
  <xr:revisionPtr revIDLastSave="0" documentId="8_{EEAFB1EF-E485-438B-9A6A-F51B58800993}" xr6:coauthVersionLast="47" xr6:coauthVersionMax="47" xr10:uidLastSave="{00000000-0000-0000-0000-000000000000}"/>
  <bookViews>
    <workbookView xWindow="-108" yWindow="-108" windowWidth="23256" windowHeight="13176" xr2:uid="{6C37AC85-509F-4D10-9DB1-F70D16D6FBAB}"/>
  </bookViews>
  <sheets>
    <sheet name="One_input" sheetId="3" r:id="rId1"/>
    <sheet name="Tow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Tow_Input!$C$3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Tow_Input!$C$4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Tow_Input!$C$4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Tow_Input!$C$5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C12" i="3"/>
  <c r="C11" i="3"/>
  <c r="C10" i="3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F3" i="3" s="1" a="1"/>
  <c r="F3" i="3" s="1"/>
  <c r="C14" i="2"/>
  <c r="E3" i="2" s="1"/>
  <c r="C14" i="1"/>
  <c r="K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<sst xmlns="http://schemas.openxmlformats.org/spreadsheetml/2006/main" count="50" uniqueCount="13">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</sst>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5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2" fillId="0" borderId="19" xfId="0" applyNumberFormat="1" applyFont="1" applyBorder="1"/>
    <xf numFmtId="165" fontId="2" fillId="0" borderId="20" xfId="0" applyNumberFormat="1" applyFont="1" applyBorder="1"/>
    <xf numFmtId="165" fontId="2" fillId="0" borderId="21" xfId="0" applyNumberFormat="1" applyFont="1" applyBorder="1"/>
    <xf numFmtId="164" fontId="5" fillId="0" borderId="22" xfId="0" applyNumberFormat="1" applyFont="1" applyBorder="1"/>
    <xf numFmtId="164" fontId="0" fillId="0" borderId="23" xfId="1" applyNumberFormat="1" applyFont="1" applyBorder="1"/>
    <xf numFmtId="164" fontId="0" fillId="0" borderId="24" xfId="1" applyNumberFormat="1" applyFont="1" applyBorder="1"/>
    <xf numFmtId="164" fontId="0" fillId="0" borderId="25" xfId="1" applyNumberFormat="1" applyFont="1" applyBorder="1"/>
    <xf numFmtId="9" fontId="6" fillId="0" borderId="26" xfId="2" applyFont="1" applyBorder="1"/>
    <xf numFmtId="164" fontId="6" fillId="0" borderId="26" xfId="2" applyNumberFormat="1" applyFont="1" applyBorder="1"/>
    <xf numFmtId="164" fontId="6" fillId="0" borderId="27" xfId="1" applyNumberFormat="1" applyFont="1" applyBorder="1"/>
    <xf numFmtId="164" fontId="9" fillId="0" borderId="22" xfId="0" applyNumberFormat="1" applyFont="1" applyBorder="1"/>
    <xf numFmtId="0" fontId="8" fillId="0" borderId="23" xfId="0" applyFont="1" applyBorder="1" applyAlignment="1">
      <alignment horizontal="right" vertical="center" textRotation="90" wrapText="1"/>
    </xf>
    <xf numFmtId="0" fontId="8" fillId="0" borderId="24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66"/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tabSelected="1" zoomScaleNormal="100" workbookViewId="0">
      <selection activeCell="C20" sqref="C20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0" width="11" customWidth="1"/>
    <col min="11" max="11" width="12.21875" bestFit="1" customWidth="1"/>
  </cols>
  <sheetData>
    <row r="1" spans="2:11" ht="15" thickBot="1" x14ac:dyDescent="0.35"/>
    <row r="2" spans="2:1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x14ac:dyDescent="0.3">
      <c r="B3" s="6" t="s">
        <v>0</v>
      </c>
      <c r="C3" s="25">
        <v>100000</v>
      </c>
      <c r="E3" s="35"/>
      <c r="F3" s="40" cm="1">
        <f t="array" ref="F3:K3">TRANSPOSE(C9:C14)</f>
        <v>110000.00000000001</v>
      </c>
      <c r="G3" s="40">
        <v>111650</v>
      </c>
      <c r="H3" s="40">
        <v>113324.74999999997</v>
      </c>
      <c r="I3" s="40">
        <v>115024.62124999997</v>
      </c>
      <c r="J3" s="40">
        <v>116749.99056874996</v>
      </c>
      <c r="K3" s="41">
        <v>566749.36181874992</v>
      </c>
    </row>
    <row r="4" spans="2:11" x14ac:dyDescent="0.3">
      <c r="B4" s="6" t="s">
        <v>1</v>
      </c>
      <c r="C4" s="26">
        <v>0.1</v>
      </c>
      <c r="E4" s="32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36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33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36">
        <v>555527.56881874998</v>
      </c>
    </row>
    <row r="6" spans="2:11" ht="15" thickBot="1" x14ac:dyDescent="0.35">
      <c r="E6" s="33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36">
        <v>561110.55110000004</v>
      </c>
    </row>
    <row r="7" spans="2:11" x14ac:dyDescent="0.3">
      <c r="B7" s="28" t="s">
        <v>10</v>
      </c>
      <c r="C7" s="29"/>
      <c r="E7" s="33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36">
        <v>566749.36181874992</v>
      </c>
    </row>
    <row r="8" spans="2:11" x14ac:dyDescent="0.3">
      <c r="B8" s="14" t="s">
        <v>11</v>
      </c>
      <c r="C8" s="15" t="s">
        <v>12</v>
      </c>
      <c r="E8" s="33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36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33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36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33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36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33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36">
        <v>589871.24631874997</v>
      </c>
    </row>
    <row r="12" spans="2:11" x14ac:dyDescent="0.3">
      <c r="B12" s="9">
        <v>3</v>
      </c>
      <c r="C12" s="7">
        <f>(base*(1+raise)^B12)*(1+bonus)</f>
        <v>115024.62124999997</v>
      </c>
      <c r="E12" s="34">
        <v>0.04</v>
      </c>
      <c r="F12" s="37">
        <v>110000.00000000001</v>
      </c>
      <c r="G12" s="37">
        <v>114400.00000000001</v>
      </c>
      <c r="H12" s="37">
        <v>118976.00000000003</v>
      </c>
      <c r="I12" s="37">
        <v>123735.04000000002</v>
      </c>
      <c r="J12" s="37">
        <v>128684.44160000002</v>
      </c>
      <c r="K12" s="38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rgb="FFFFFF66"/>
      </colorScale>
    </cfRule>
  </conditionalFormatting>
  <conditionalFormatting sqref="K4:K12">
    <cfRule type="colorScale" priority="1">
      <colorScale>
        <cfvo type="min"/>
        <cfvo type="max"/>
        <color rgb="FFFCFCFF"/>
        <color rgb="FFFFFF6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4F5C-162C-4076-BA9B-EF3DA3C5D016}">
  <dimension ref="B1:K14"/>
  <sheetViews>
    <sheetView zoomScaleNormal="100" workbookViewId="0">
      <selection activeCell="F18" sqref="F18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0" width="11" customWidth="1"/>
    <col min="11" max="11" width="12.21875" bestFit="1" customWidth="1"/>
  </cols>
  <sheetData>
    <row r="1" spans="2:11" ht="15" thickBot="1" x14ac:dyDescent="0.35"/>
    <row r="2" spans="2:11" x14ac:dyDescent="0.3">
      <c r="B2" s="28" t="s">
        <v>9</v>
      </c>
      <c r="C2" s="29"/>
      <c r="E2" s="5"/>
      <c r="F2" s="44" t="s">
        <v>1</v>
      </c>
      <c r="G2" s="44"/>
      <c r="H2" s="44"/>
      <c r="I2" s="44"/>
      <c r="J2" s="44"/>
      <c r="K2" s="44"/>
    </row>
    <row r="3" spans="2:11" x14ac:dyDescent="0.3">
      <c r="B3" s="6" t="s">
        <v>0</v>
      </c>
      <c r="C3" s="25">
        <v>100000</v>
      </c>
      <c r="D3" s="43" t="s">
        <v>2</v>
      </c>
      <c r="E3" s="42">
        <f>C14</f>
        <v>566749.36181874992</v>
      </c>
      <c r="F3" s="39">
        <v>0</v>
      </c>
      <c r="G3" s="39">
        <v>0.05</v>
      </c>
      <c r="H3" s="39">
        <v>0.1</v>
      </c>
      <c r="I3" s="39">
        <v>0.15</v>
      </c>
      <c r="J3" s="39">
        <v>0.2</v>
      </c>
      <c r="K3" s="39">
        <v>0.25</v>
      </c>
    </row>
    <row r="4" spans="2:11" x14ac:dyDescent="0.3">
      <c r="B4" s="6" t="s">
        <v>1</v>
      </c>
      <c r="C4" s="26">
        <v>0.1</v>
      </c>
      <c r="D4" s="43"/>
      <c r="E4" s="32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36">
        <v>625000</v>
      </c>
    </row>
    <row r="5" spans="2:11" ht="15" thickBot="1" x14ac:dyDescent="0.35">
      <c r="B5" s="8" t="s">
        <v>2</v>
      </c>
      <c r="C5" s="27">
        <v>1.4999999999999999E-2</v>
      </c>
      <c r="D5" s="43"/>
      <c r="E5" s="33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36">
        <v>631281.32820312493</v>
      </c>
    </row>
    <row r="6" spans="2:11" ht="15" thickBot="1" x14ac:dyDescent="0.35">
      <c r="D6" s="43"/>
      <c r="E6" s="33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36">
        <v>637625.62624999997</v>
      </c>
    </row>
    <row r="7" spans="2:11" x14ac:dyDescent="0.3">
      <c r="B7" s="28" t="s">
        <v>10</v>
      </c>
      <c r="C7" s="29"/>
      <c r="D7" s="43"/>
      <c r="E7" s="33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36">
        <v>644033.3657031249</v>
      </c>
    </row>
    <row r="8" spans="2:11" x14ac:dyDescent="0.3">
      <c r="B8" s="14" t="s">
        <v>11</v>
      </c>
      <c r="C8" s="15" t="s">
        <v>12</v>
      </c>
      <c r="D8" s="43"/>
      <c r="E8" s="33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36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43"/>
      <c r="E9" s="33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36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43"/>
      <c r="E10" s="33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36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43"/>
      <c r="E11" s="33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36">
        <v>670308.23445312493</v>
      </c>
    </row>
    <row r="12" spans="2:11" x14ac:dyDescent="0.3">
      <c r="B12" s="9">
        <v>3</v>
      </c>
      <c r="C12" s="7">
        <f>(base*(1+raise)^B12)*(1+bonus)</f>
        <v>115024.62124999997</v>
      </c>
      <c r="D12" s="43"/>
      <c r="E12" s="34">
        <v>0.04</v>
      </c>
      <c r="F12" s="37">
        <v>541632.25600000005</v>
      </c>
      <c r="G12" s="37">
        <v>568713.86880000005</v>
      </c>
      <c r="H12" s="37">
        <v>595795.48160000006</v>
      </c>
      <c r="I12" s="37">
        <v>622877.09440000006</v>
      </c>
      <c r="J12" s="37">
        <v>649958.70720000006</v>
      </c>
      <c r="K12" s="38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F2:K2"/>
    <mergeCell ref="D3:D12"/>
  </mergeCells>
  <conditionalFormatting sqref="F4:K12">
    <cfRule type="colorScale" priority="1">
      <colorScale>
        <cfvo type="min"/>
        <cfvo type="max"/>
        <color rgb="FFFCFCFF"/>
        <color rgb="FFFFFF6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Tow_Input</vt:lpstr>
      <vt:lpstr>Data_Table_One-Input</vt:lpstr>
      <vt:lpstr>Data_Table_Two-Input</vt:lpstr>
      <vt:lpstr>'Data_Table_Two-Input'!base</vt:lpstr>
      <vt:lpstr>One_input!base</vt:lpstr>
      <vt:lpstr>Tow_Input!base</vt:lpstr>
      <vt:lpstr>base</vt:lpstr>
      <vt:lpstr>'Data_Table_Two-Input'!bonus</vt:lpstr>
      <vt:lpstr>One_input!bonus</vt:lpstr>
      <vt:lpstr>Tow_Input!bonus</vt:lpstr>
      <vt:lpstr>bonus</vt:lpstr>
      <vt:lpstr>'Data_Table_Two-Input'!bonuys</vt:lpstr>
      <vt:lpstr>One_input!bonuys</vt:lpstr>
      <vt:lpstr>Tow_Input!bonuys</vt:lpstr>
      <vt:lpstr>bonuys</vt:lpstr>
      <vt:lpstr>'Data_Table_Two-Input'!raise</vt:lpstr>
      <vt:lpstr>One_input!raise</vt:lpstr>
      <vt:lpstr>Tow_Input!raise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MOSLEH ALBALHARETH</cp:lastModifiedBy>
  <dcterms:created xsi:type="dcterms:W3CDTF">2024-08-08T18:34:47Z</dcterms:created>
  <dcterms:modified xsi:type="dcterms:W3CDTF">2026-09-19T11:29:40Z</dcterms:modified>
</cp:coreProperties>
</file>